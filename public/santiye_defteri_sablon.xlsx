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nes\Desktop\santiye_takip\santiye-takip\public\"/>
    </mc:Choice>
  </mc:AlternateContent>
  <xr:revisionPtr revIDLastSave="0" documentId="13_ncr:1_{C8930C66-3492-4F1F-AEB2-88E5AB0FA355}" xr6:coauthVersionLast="47" xr6:coauthVersionMax="47" xr10:uidLastSave="{00000000-0000-0000-0000-000000000000}"/>
  <bookViews>
    <workbookView xWindow="1920" yWindow="0" windowWidth="17712" windowHeight="12960" tabRatio="924" firstSheet="1" activeTab="1" xr2:uid="{2092D162-26C9-497D-B896-6723F91674CA}"/>
  </bookViews>
  <sheets>
    <sheet name="0000" sheetId="27" state="veryHidden" r:id="rId1"/>
    <sheet name="DD.MM.YYYY" sheetId="40" r:id="rId2"/>
  </sheets>
  <definedNames>
    <definedName name="_xlnm.Print_Area" localSheetId="1">'DD.MM.YYYY'!$B$2:$K$69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40" l="1"/>
  <c r="G69" i="40"/>
  <c r="K45" i="40"/>
  <c r="D45" i="40"/>
  <c r="D27" i="40"/>
</calcChain>
</file>

<file path=xl/sharedStrings.xml><?xml version="1.0" encoding="utf-8"?>
<sst xmlns="http://schemas.openxmlformats.org/spreadsheetml/2006/main" count="67" uniqueCount="62">
  <si>
    <t>MÜŞAVİR</t>
  </si>
  <si>
    <t>Şantiye Şefi</t>
  </si>
  <si>
    <t>MÜTEAHHİT</t>
  </si>
  <si>
    <t>TEKNİK PERSONEL</t>
  </si>
  <si>
    <t>DİĞER PERSONEL</t>
  </si>
  <si>
    <t>Rapor No</t>
  </si>
  <si>
    <t>Sayfa No</t>
  </si>
  <si>
    <t>MİKTAR</t>
  </si>
  <si>
    <t>İŞİN ADI</t>
  </si>
  <si>
    <t>Hava Durumu</t>
  </si>
  <si>
    <t>açık</t>
  </si>
  <si>
    <t>sisli</t>
  </si>
  <si>
    <t>bulutlu</t>
  </si>
  <si>
    <t>yağmurlu</t>
  </si>
  <si>
    <t>karlı</t>
  </si>
  <si>
    <t>ısı</t>
  </si>
  <si>
    <t>SAYISI</t>
  </si>
  <si>
    <t>TOPLAM</t>
  </si>
  <si>
    <t>GELEN MALZEME</t>
  </si>
  <si>
    <t>BİRİM</t>
  </si>
  <si>
    <t>MAKİNE EKİPMAN</t>
  </si>
  <si>
    <t>Tarih</t>
  </si>
  <si>
    <t>Gün</t>
  </si>
  <si>
    <t>GÜNLÜK ŞANTİYE DEFTERİ</t>
  </si>
  <si>
    <t>Topoğraf</t>
  </si>
  <si>
    <t>...................</t>
  </si>
  <si>
    <t>...……………</t>
  </si>
  <si>
    <t>MEKANİK TESİSAT İŞLERİ</t>
  </si>
  <si>
    <t>Proje Müdürü</t>
  </si>
  <si>
    <t>Koordinatör</t>
  </si>
  <si>
    <t>Harita Mühendisi</t>
  </si>
  <si>
    <t>Müşavir (inşaat kontrol müh.)</t>
  </si>
  <si>
    <t>Altyapı Topoğrafı</t>
  </si>
  <si>
    <t>Satın Alma Muhasebe</t>
  </si>
  <si>
    <t>Formen</t>
  </si>
  <si>
    <t>Kamp Amiri</t>
  </si>
  <si>
    <t>Kamp Temizlik (Düz işçi)</t>
  </si>
  <si>
    <t>Çay Temizlik İşleri</t>
  </si>
  <si>
    <t>Operatör ve Şoförler</t>
  </si>
  <si>
    <t>Trafik Ekibi</t>
  </si>
  <si>
    <t>Trimer Ekibi</t>
  </si>
  <si>
    <t>Temizlik Ekibi</t>
  </si>
  <si>
    <t>Bordür Ekibi</t>
  </si>
  <si>
    <t>Asfalt Ekibi</t>
  </si>
  <si>
    <t>Bordür Boya Ekibi</t>
  </si>
  <si>
    <t>Altyapı Ekibi</t>
  </si>
  <si>
    <t>Şenör</t>
  </si>
  <si>
    <t>Teknik Ofis</t>
  </si>
  <si>
    <t>Elektrik Şefi</t>
  </si>
  <si>
    <t>Elektrik Ekibi</t>
  </si>
  <si>
    <t>Min: 8 ˚C</t>
  </si>
  <si>
    <t>Max: 19 ˚C</t>
  </si>
  <si>
    <t>İMALAT YERİ</t>
  </si>
  <si>
    <t>İMALAT ADI</t>
  </si>
  <si>
    <t>ALT YÜKLENİCİ</t>
  </si>
  <si>
    <t>ÇALIŞAN SAYISI</t>
  </si>
  <si>
    <t>Cumartesi</t>
  </si>
  <si>
    <t>Kamyonet</t>
  </si>
  <si>
    <t>Binek Araç</t>
  </si>
  <si>
    <t>Jenaratör</t>
  </si>
  <si>
    <t>m</t>
  </si>
  <si>
    <t xml:space="preserve">Ø100 PVC Boru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</si>
</sst>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Arial"/>
      <charset val="162"/>
    </font>
    <font>
      <sz val="9"/>
      <name val="Arial"/>
      <family val="2"/>
      <charset val="162"/>
    </font>
    <font>
      <b/>
      <sz val="9"/>
      <name val="Arial"/>
      <family val="2"/>
      <charset val="162"/>
    </font>
    <font>
      <b/>
      <sz val="16"/>
      <name val="Arial"/>
      <family val="2"/>
      <charset val="162"/>
    </font>
    <font>
      <b/>
      <sz val="9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1"/>
      <color indexed="10"/>
      <name val="Arial"/>
      <family val="2"/>
    </font>
    <font>
      <sz val="10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5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7" fillId="2" borderId="10" xfId="0" applyFont="1" applyFill="1" applyBorder="1" applyAlignment="1">
      <alignment vertical="center"/>
    </xf>
    <xf numFmtId="0" fontId="8" fillId="0" borderId="11" xfId="0" applyFont="1" applyBorder="1" applyAlignment="1">
      <alignment vertical="center" wrapText="1"/>
    </xf>
    <xf numFmtId="0" fontId="5" fillId="0" borderId="12" xfId="0" applyFont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3" borderId="20" xfId="0" applyFont="1" applyFill="1" applyBorder="1" applyAlignment="1">
      <alignment horizontal="left" vertical="center"/>
    </xf>
    <xf numFmtId="0" fontId="6" fillId="3" borderId="21" xfId="0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vertical="center" wrapText="1"/>
    </xf>
    <xf numFmtId="0" fontId="6" fillId="3" borderId="23" xfId="0" applyFont="1" applyFill="1" applyBorder="1" applyAlignment="1">
      <alignment vertical="center"/>
    </xf>
    <xf numFmtId="0" fontId="7" fillId="3" borderId="24" xfId="0" applyFont="1" applyFill="1" applyBorder="1" applyAlignment="1">
      <alignment horizontal="center" vertical="center" wrapText="1"/>
    </xf>
    <xf numFmtId="0" fontId="7" fillId="3" borderId="25" xfId="0" applyFont="1" applyFill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14" fontId="6" fillId="2" borderId="27" xfId="0" applyNumberFormat="1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7" fillId="3" borderId="28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0" fontId="7" fillId="3" borderId="30" xfId="0" applyFont="1" applyFill="1" applyBorder="1" applyAlignment="1">
      <alignment horizontal="center" vertical="center"/>
    </xf>
    <xf numFmtId="0" fontId="11" fillId="0" borderId="21" xfId="0" applyFont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2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6" fillId="3" borderId="28" xfId="0" applyFont="1" applyFill="1" applyBorder="1" applyAlignment="1">
      <alignment horizontal="left" vertical="center"/>
    </xf>
    <xf numFmtId="0" fontId="6" fillId="3" borderId="63" xfId="0" applyFont="1" applyFill="1" applyBorder="1" applyAlignment="1">
      <alignment horizontal="left" vertical="center"/>
    </xf>
    <xf numFmtId="0" fontId="6" fillId="0" borderId="61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64" xfId="0" applyFont="1" applyBorder="1" applyAlignment="1">
      <alignment horizontal="left" vertical="center" wrapText="1"/>
    </xf>
    <xf numFmtId="0" fontId="6" fillId="0" borderId="44" xfId="0" applyFont="1" applyBorder="1" applyAlignment="1">
      <alignment horizontal="left" vertical="center" wrapText="1"/>
    </xf>
    <xf numFmtId="0" fontId="6" fillId="0" borderId="45" xfId="0" applyFont="1" applyBorder="1" applyAlignment="1">
      <alignment horizontal="left" vertical="center" wrapText="1"/>
    </xf>
    <xf numFmtId="0" fontId="6" fillId="0" borderId="49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65" xfId="0" applyFont="1" applyFill="1" applyBorder="1" applyAlignment="1">
      <alignment horizontal="center" vertical="center" wrapText="1"/>
    </xf>
    <xf numFmtId="0" fontId="6" fillId="3" borderId="49" xfId="0" applyFont="1" applyFill="1" applyBorder="1" applyAlignment="1">
      <alignment horizontal="center" vertical="center" wrapText="1"/>
    </xf>
    <xf numFmtId="0" fontId="6" fillId="3" borderId="50" xfId="0" applyFont="1" applyFill="1" applyBorder="1" applyAlignment="1">
      <alignment horizontal="center" vertical="center" wrapText="1"/>
    </xf>
    <xf numFmtId="0" fontId="8" fillId="0" borderId="4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41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7" fillId="3" borderId="28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0" fontId="7" fillId="3" borderId="61" xfId="0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0" fontId="7" fillId="3" borderId="62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59" xfId="0" applyFont="1" applyBorder="1" applyAlignment="1">
      <alignment horizontal="left" vertical="center"/>
    </xf>
    <xf numFmtId="0" fontId="1" fillId="0" borderId="50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 wrapText="1"/>
    </xf>
    <xf numFmtId="0" fontId="2" fillId="3" borderId="55" xfId="0" applyFont="1" applyFill="1" applyBorder="1" applyAlignment="1">
      <alignment horizontal="center" vertical="center" wrapText="1"/>
    </xf>
    <xf numFmtId="0" fontId="2" fillId="3" borderId="43" xfId="0" applyFont="1" applyFill="1" applyBorder="1" applyAlignment="1">
      <alignment horizontal="center" vertical="center" wrapText="1"/>
    </xf>
    <xf numFmtId="0" fontId="2" fillId="3" borderId="56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56" xfId="0" applyFont="1" applyFill="1" applyBorder="1" applyAlignment="1">
      <alignment horizontal="center" vertical="center" wrapText="1"/>
    </xf>
    <xf numFmtId="0" fontId="1" fillId="0" borderId="57" xfId="0" applyFont="1" applyBorder="1" applyAlignment="1">
      <alignment horizontal="left" vertical="center"/>
    </xf>
    <xf numFmtId="0" fontId="1" fillId="0" borderId="58" xfId="0" applyFont="1" applyBorder="1" applyAlignment="1">
      <alignment horizontal="left" vertical="center"/>
    </xf>
    <xf numFmtId="0" fontId="1" fillId="0" borderId="53" xfId="0" applyFont="1" applyBorder="1" applyAlignment="1">
      <alignment horizontal="left" vertical="center"/>
    </xf>
    <xf numFmtId="0" fontId="1" fillId="0" borderId="54" xfId="0" applyFont="1" applyBorder="1" applyAlignment="1">
      <alignment horizontal="left" vertical="center"/>
    </xf>
    <xf numFmtId="0" fontId="10" fillId="0" borderId="41" xfId="0" applyFont="1" applyBorder="1" applyAlignment="1">
      <alignment horizontal="left" vertical="center"/>
    </xf>
    <xf numFmtId="0" fontId="10" fillId="0" borderId="42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5" fillId="2" borderId="48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11" fillId="0" borderId="49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50" xfId="0" applyFont="1" applyBorder="1" applyAlignment="1">
      <alignment horizontal="center" vertical="center" wrapText="1"/>
    </xf>
    <xf numFmtId="0" fontId="10" fillId="0" borderId="51" xfId="0" applyFont="1" applyBorder="1" applyAlignment="1">
      <alignment horizontal="left" vertical="center"/>
    </xf>
    <xf numFmtId="0" fontId="10" fillId="0" borderId="52" xfId="0" applyFont="1" applyBorder="1" applyAlignment="1">
      <alignment horizontal="left" vertical="center"/>
    </xf>
    <xf numFmtId="0" fontId="10" fillId="0" borderId="31" xfId="0" applyFont="1" applyBorder="1" applyAlignment="1">
      <alignment horizontal="left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14" fontId="1" fillId="0" borderId="38" xfId="0" applyNumberFormat="1" applyFont="1" applyBorder="1" applyAlignment="1">
      <alignment horizontal="center" vertical="center"/>
    </xf>
    <xf numFmtId="14" fontId="1" fillId="0" borderId="39" xfId="0" applyNumberFormat="1" applyFont="1" applyBorder="1" applyAlignment="1">
      <alignment horizontal="center" vertical="center"/>
    </xf>
    <xf numFmtId="14" fontId="1" fillId="0" borderId="40" xfId="0" applyNumberFormat="1" applyFont="1" applyBorder="1" applyAlignment="1">
      <alignment horizontal="center" vertical="center"/>
    </xf>
    <xf numFmtId="0" fontId="7" fillId="3" borderId="43" xfId="0" applyFont="1" applyFill="1" applyBorder="1" applyAlignment="1">
      <alignment horizontal="center" vertical="center"/>
    </xf>
    <xf numFmtId="0" fontId="7" fillId="3" borderId="44" xfId="0" applyFont="1" applyFill="1" applyBorder="1" applyAlignment="1">
      <alignment horizontal="center" vertical="center"/>
    </xf>
    <xf numFmtId="0" fontId="7" fillId="3" borderId="4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175260</xdr:colOff>
      <xdr:row>1</xdr:row>
      <xdr:rowOff>152400</xdr:rowOff>
    </xdr:from>
    <xdr:to>
      <xdr:col>10</xdr:col>
      <xdr:colOff>396240</xdr:colOff>
      <xdr:row>6</xdr:row>
      <xdr:rowOff>678180</xdr:rowOff>
    </xdr:to>
    <xdr:pic>
      <xdr:nvPicPr>
        <xdr:cNvPr id="73740" name="Picture 2" descr="TOKİ LOGO- LATEST.jpg">
          <a:extLst>
            <a:ext uri="{FF2B5EF4-FFF2-40B4-BE49-F238E27FC236}">
              <a16:creationId xmlns:a16="http://schemas.microsoft.com/office/drawing/2014/main" id="{E0331680-1B9F-1F0F-517C-79ACD1CC0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60080" y="327660"/>
          <a:ext cx="1074420" cy="14173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7124-2027-45FE-943F-5C6992B93AF2}">
  <sheetPr codeName="Sayfa6"/>
  <dimension ref="A1"/>
  <sheetViews>
    <sheetView showGridLines="0" showRowColHeaders="0" showZeros="0" showOutlineSymbols="0" topLeftCell="B79" zoomScaleNormal="84" zoomScaleSheetLayoutView="4" workbookViewId="0"/>
  </sheetViews>
  <sheetFormatPr defaultRowHeight="13.2" x14ac:dyDescent="0.25"/>
  <sheetData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21284-3B26-4C73-86BC-C876E52610B6}">
  <sheetPr codeName="Sayfa95">
    <pageSetUpPr fitToPage="1"/>
  </sheetPr>
  <dimension ref="B1:W71"/>
  <sheetViews>
    <sheetView tabSelected="1" view="pageBreakPreview" topLeftCell="A25" zoomScaleNormal="75" zoomScaleSheetLayoutView="100" workbookViewId="0">
      <selection activeCell="H40" sqref="H40"/>
    </sheetView>
  </sheetViews>
  <sheetFormatPr defaultColWidth="9.109375" defaultRowHeight="13.2" x14ac:dyDescent="0.25"/>
  <cols>
    <col min="1" max="1" width="9.109375" style="17"/>
    <col min="2" max="2" width="19.5546875" style="17" customWidth="1"/>
    <col min="3" max="3" width="8.33203125" style="17" customWidth="1"/>
    <col min="4" max="5" width="10.44140625" style="17" customWidth="1"/>
    <col min="6" max="6" width="22.44140625" style="17" customWidth="1"/>
    <col min="7" max="8" width="12.5546875" style="17" customWidth="1"/>
    <col min="9" max="10" width="12.44140625" style="17" customWidth="1"/>
    <col min="11" max="11" width="12.33203125" style="17" customWidth="1"/>
    <col min="12" max="16384" width="9.109375" style="17"/>
  </cols>
  <sheetData>
    <row r="1" spans="2:11" ht="13.8" thickBot="1" x14ac:dyDescent="0.3"/>
    <row r="2" spans="2:11" ht="13.8" x14ac:dyDescent="0.25">
      <c r="B2" s="73"/>
      <c r="C2" s="74"/>
      <c r="D2" s="74"/>
      <c r="E2" s="74"/>
      <c r="F2" s="5"/>
      <c r="G2" s="5"/>
      <c r="H2" s="5"/>
      <c r="I2" s="5"/>
      <c r="J2" s="5"/>
      <c r="K2" s="18"/>
    </row>
    <row r="3" spans="2:11" ht="13.8" x14ac:dyDescent="0.25">
      <c r="B3" s="32"/>
      <c r="C3" s="33"/>
      <c r="D3" s="33"/>
      <c r="E3" s="33"/>
      <c r="F3" s="19"/>
      <c r="G3" s="19"/>
      <c r="H3" s="19"/>
      <c r="I3" s="19"/>
      <c r="J3" s="19"/>
      <c r="K3" s="20"/>
    </row>
    <row r="4" spans="2:11" ht="15" customHeight="1" x14ac:dyDescent="0.25">
      <c r="B4" s="13"/>
      <c r="C4" s="11"/>
      <c r="D4" s="11"/>
      <c r="E4" s="11"/>
      <c r="F4" s="31"/>
      <c r="G4" s="11"/>
      <c r="H4" s="19"/>
      <c r="I4" s="19"/>
      <c r="J4" s="75"/>
      <c r="K4" s="76"/>
    </row>
    <row r="5" spans="2:11" ht="15" customHeight="1" x14ac:dyDescent="0.25">
      <c r="B5" s="77"/>
      <c r="C5" s="78"/>
      <c r="D5" s="78"/>
      <c r="E5" s="78"/>
      <c r="F5" s="78"/>
      <c r="G5" s="11"/>
      <c r="H5" s="19"/>
      <c r="I5" s="19"/>
      <c r="J5" s="75"/>
      <c r="K5" s="76"/>
    </row>
    <row r="6" spans="2:11" ht="12.75" customHeight="1" x14ac:dyDescent="0.25">
      <c r="B6" s="79"/>
      <c r="C6" s="80"/>
      <c r="D6" s="80"/>
      <c r="E6" s="80"/>
      <c r="F6" s="31"/>
      <c r="G6" s="11"/>
      <c r="H6" s="19"/>
      <c r="I6" s="19"/>
      <c r="J6" s="19"/>
      <c r="K6" s="20"/>
    </row>
    <row r="7" spans="2:11" ht="54.9" customHeight="1" x14ac:dyDescent="0.25">
      <c r="B7" s="13"/>
      <c r="C7" s="11"/>
      <c r="D7" s="11"/>
      <c r="E7" s="11"/>
      <c r="F7" s="31"/>
      <c r="G7" s="11"/>
      <c r="H7" s="10"/>
      <c r="I7" s="10"/>
      <c r="J7" s="10"/>
      <c r="K7" s="14"/>
    </row>
    <row r="8" spans="2:11" ht="54.9" customHeight="1" x14ac:dyDescent="0.25">
      <c r="B8" s="81"/>
      <c r="C8" s="82"/>
      <c r="D8" s="82"/>
      <c r="E8" s="82"/>
      <c r="F8" s="82"/>
      <c r="G8" s="82"/>
      <c r="H8" s="82"/>
      <c r="I8" s="82"/>
      <c r="J8" s="82"/>
      <c r="K8" s="83"/>
    </row>
    <row r="9" spans="2:11" ht="20.100000000000001" customHeight="1" x14ac:dyDescent="0.25">
      <c r="B9" s="84" t="s">
        <v>23</v>
      </c>
      <c r="C9" s="85"/>
      <c r="D9" s="85"/>
      <c r="E9" s="85"/>
      <c r="F9" s="85"/>
      <c r="G9" s="85"/>
      <c r="H9" s="85"/>
      <c r="I9" s="85"/>
      <c r="J9" s="85"/>
      <c r="K9" s="86"/>
    </row>
    <row r="10" spans="2:11" ht="9.9" customHeight="1" thickBot="1" x14ac:dyDescent="0.3">
      <c r="B10" s="21"/>
      <c r="C10" s="15"/>
      <c r="D10" s="15"/>
      <c r="E10" s="15"/>
      <c r="F10" s="15"/>
      <c r="G10" s="15"/>
      <c r="H10" s="15"/>
      <c r="I10" s="15"/>
      <c r="J10" s="15"/>
      <c r="K10" s="16"/>
    </row>
    <row r="11" spans="2:11" ht="12.75" customHeight="1" x14ac:dyDescent="0.25">
      <c r="B11" s="57" t="s">
        <v>8</v>
      </c>
      <c r="C11" s="59"/>
      <c r="D11" s="60"/>
      <c r="E11" s="60"/>
      <c r="F11" s="60"/>
      <c r="G11" s="60"/>
      <c r="H11" s="60"/>
      <c r="I11" s="60"/>
      <c r="J11" s="60"/>
      <c r="K11" s="61"/>
    </row>
    <row r="12" spans="2:11" ht="12.75" customHeight="1" x14ac:dyDescent="0.25">
      <c r="B12" s="58"/>
      <c r="C12" s="62"/>
      <c r="D12" s="63"/>
      <c r="E12" s="63"/>
      <c r="F12" s="63"/>
      <c r="G12" s="63"/>
      <c r="H12" s="63"/>
      <c r="I12" s="63"/>
      <c r="J12" s="63"/>
      <c r="K12" s="64"/>
    </row>
    <row r="13" spans="2:11" ht="21.75" customHeight="1" x14ac:dyDescent="0.25">
      <c r="B13" s="34" t="s">
        <v>2</v>
      </c>
      <c r="C13" s="65"/>
      <c r="D13" s="66"/>
      <c r="E13" s="66"/>
      <c r="F13" s="66"/>
      <c r="G13" s="66"/>
      <c r="H13" s="66"/>
      <c r="I13" s="67"/>
      <c r="J13" s="67"/>
      <c r="K13" s="68"/>
    </row>
    <row r="14" spans="2:11" ht="14.25" customHeight="1" x14ac:dyDescent="0.25">
      <c r="B14" s="69" t="s">
        <v>9</v>
      </c>
      <c r="C14" s="35" t="s">
        <v>10</v>
      </c>
      <c r="D14" s="35" t="s">
        <v>11</v>
      </c>
      <c r="E14" s="35" t="s">
        <v>12</v>
      </c>
      <c r="F14" s="35" t="s">
        <v>13</v>
      </c>
      <c r="G14" s="35" t="s">
        <v>14</v>
      </c>
      <c r="H14" s="71" t="s">
        <v>15</v>
      </c>
      <c r="I14" s="72"/>
      <c r="J14" s="36" t="s">
        <v>21</v>
      </c>
      <c r="K14" s="41">
        <v>46137</v>
      </c>
    </row>
    <row r="15" spans="2:11" ht="13.8" thickBot="1" x14ac:dyDescent="0.3">
      <c r="B15" s="70"/>
      <c r="C15" s="44"/>
      <c r="D15" s="4"/>
      <c r="E15" s="43"/>
      <c r="F15" s="4"/>
      <c r="G15" s="4"/>
      <c r="H15" t="s">
        <v>50</v>
      </c>
      <c r="I15" t="s">
        <v>51</v>
      </c>
      <c r="J15" s="37" t="s">
        <v>22</v>
      </c>
      <c r="K15" s="40" t="s">
        <v>56</v>
      </c>
    </row>
    <row r="16" spans="2:11" x14ac:dyDescent="0.25">
      <c r="B16" s="93" t="s">
        <v>3</v>
      </c>
      <c r="C16" s="94"/>
      <c r="D16" s="94" t="s">
        <v>16</v>
      </c>
      <c r="E16" s="95"/>
      <c r="F16" s="45" t="s">
        <v>18</v>
      </c>
      <c r="G16" s="46" t="s">
        <v>19</v>
      </c>
      <c r="H16" s="38" t="s">
        <v>7</v>
      </c>
      <c r="I16" s="96" t="s">
        <v>20</v>
      </c>
      <c r="J16" s="97"/>
      <c r="K16" s="38" t="s">
        <v>7</v>
      </c>
    </row>
    <row r="17" spans="2:11" x14ac:dyDescent="0.25">
      <c r="B17" s="87" t="s">
        <v>31</v>
      </c>
      <c r="C17" s="88"/>
      <c r="D17" s="98"/>
      <c r="E17" s="99"/>
      <c r="F17" s="22" t="s">
        <v>61</v>
      </c>
      <c r="G17" s="6" t="s">
        <v>60</v>
      </c>
      <c r="H17" s="7">
        <v>40</v>
      </c>
      <c r="I17" s="91" t="s">
        <v>57</v>
      </c>
      <c r="J17" s="92"/>
      <c r="K17" s="7">
        <v>1</v>
      </c>
    </row>
    <row r="18" spans="2:11" x14ac:dyDescent="0.25">
      <c r="B18" s="87" t="s">
        <v>29</v>
      </c>
      <c r="C18" s="88"/>
      <c r="D18" s="89"/>
      <c r="E18" s="90"/>
      <c r="F18" s="23"/>
      <c r="G18" s="1"/>
      <c r="H18" s="2"/>
      <c r="I18" s="91" t="s">
        <v>58</v>
      </c>
      <c r="J18" s="92"/>
      <c r="K18" s="2">
        <v>1</v>
      </c>
    </row>
    <row r="19" spans="2:11" x14ac:dyDescent="0.25">
      <c r="B19" s="87" t="s">
        <v>1</v>
      </c>
      <c r="C19" s="88"/>
      <c r="D19" s="89">
        <v>1</v>
      </c>
      <c r="E19" s="90"/>
      <c r="F19" s="23"/>
      <c r="G19" s="1"/>
      <c r="H19" s="2"/>
      <c r="I19" s="91" t="s">
        <v>59</v>
      </c>
      <c r="J19" s="92"/>
      <c r="K19" s="2">
        <v>1</v>
      </c>
    </row>
    <row r="20" spans="2:11" x14ac:dyDescent="0.25">
      <c r="B20" s="100" t="s">
        <v>28</v>
      </c>
      <c r="C20" s="101"/>
      <c r="D20" s="89"/>
      <c r="E20" s="90"/>
      <c r="F20" s="23"/>
      <c r="G20" s="1"/>
      <c r="H20" s="2"/>
      <c r="I20" s="91"/>
      <c r="J20" s="92"/>
      <c r="K20" s="2"/>
    </row>
    <row r="21" spans="2:11" x14ac:dyDescent="0.25">
      <c r="B21" s="100" t="s">
        <v>30</v>
      </c>
      <c r="C21" s="101"/>
      <c r="D21" s="89"/>
      <c r="E21" s="90"/>
      <c r="F21" s="23"/>
      <c r="G21" s="1"/>
      <c r="H21" s="2"/>
      <c r="I21" s="91"/>
      <c r="J21" s="92"/>
      <c r="K21" s="2"/>
    </row>
    <row r="22" spans="2:11" x14ac:dyDescent="0.25">
      <c r="B22" s="100" t="s">
        <v>24</v>
      </c>
      <c r="C22" s="101"/>
      <c r="D22" s="89"/>
      <c r="E22" s="90"/>
      <c r="F22" s="23"/>
      <c r="G22" s="1"/>
      <c r="H22" s="2"/>
      <c r="I22" s="91"/>
      <c r="J22" s="92"/>
      <c r="K22" s="2"/>
    </row>
    <row r="23" spans="2:11" x14ac:dyDescent="0.25">
      <c r="B23" s="87" t="s">
        <v>32</v>
      </c>
      <c r="C23" s="88"/>
      <c r="D23" s="89"/>
      <c r="E23" s="90"/>
      <c r="F23" s="23"/>
      <c r="G23" s="1"/>
      <c r="H23" s="2"/>
      <c r="I23" s="91"/>
      <c r="J23" s="92"/>
      <c r="K23" s="2"/>
    </row>
    <row r="24" spans="2:11" x14ac:dyDescent="0.25">
      <c r="B24" s="100" t="s">
        <v>46</v>
      </c>
      <c r="C24" s="101"/>
      <c r="D24" s="102"/>
      <c r="E24" s="103"/>
      <c r="F24" s="23"/>
      <c r="G24" s="1"/>
      <c r="H24" s="2"/>
      <c r="I24" s="91"/>
      <c r="J24" s="92"/>
      <c r="K24" s="2"/>
    </row>
    <row r="25" spans="2:11" x14ac:dyDescent="0.25">
      <c r="B25" s="100" t="s">
        <v>47</v>
      </c>
      <c r="C25" s="101"/>
      <c r="D25" s="102"/>
      <c r="E25" s="103"/>
      <c r="F25" s="23"/>
      <c r="G25" s="1"/>
      <c r="H25" s="2"/>
      <c r="I25" s="91"/>
      <c r="J25" s="92"/>
      <c r="K25" s="2"/>
    </row>
    <row r="26" spans="2:11" x14ac:dyDescent="0.25">
      <c r="B26" s="100" t="s">
        <v>48</v>
      </c>
      <c r="C26" s="101"/>
      <c r="D26" s="102"/>
      <c r="E26" s="103"/>
      <c r="F26" s="23"/>
      <c r="G26" s="1"/>
      <c r="H26" s="2"/>
      <c r="I26" s="91"/>
      <c r="J26" s="92"/>
      <c r="K26" s="2"/>
    </row>
    <row r="27" spans="2:11" ht="14.25" customHeight="1" thickBot="1" x14ac:dyDescent="0.3">
      <c r="B27" s="104" t="s">
        <v>17</v>
      </c>
      <c r="C27" s="105"/>
      <c r="D27" s="104">
        <f>+SUM(D17:E26)</f>
        <v>1</v>
      </c>
      <c r="E27" s="105"/>
      <c r="F27" s="23"/>
      <c r="G27" s="1"/>
      <c r="H27" s="2"/>
      <c r="I27" s="91"/>
      <c r="J27" s="92"/>
      <c r="K27" s="2"/>
    </row>
    <row r="28" spans="2:11" x14ac:dyDescent="0.25">
      <c r="B28" s="106" t="s">
        <v>4</v>
      </c>
      <c r="C28" s="107"/>
      <c r="D28" s="106" t="s">
        <v>16</v>
      </c>
      <c r="E28" s="110"/>
      <c r="F28" s="23"/>
      <c r="G28" s="1"/>
      <c r="H28" s="2"/>
      <c r="I28" s="91"/>
      <c r="J28" s="92"/>
      <c r="K28" s="2"/>
    </row>
    <row r="29" spans="2:11" x14ac:dyDescent="0.25">
      <c r="B29" s="108"/>
      <c r="C29" s="109"/>
      <c r="D29" s="111"/>
      <c r="E29" s="112"/>
      <c r="F29" s="23"/>
      <c r="G29" s="1"/>
      <c r="H29" s="2"/>
      <c r="I29" s="91"/>
      <c r="J29" s="92"/>
      <c r="K29" s="2"/>
    </row>
    <row r="30" spans="2:11" x14ac:dyDescent="0.25">
      <c r="B30" s="113" t="s">
        <v>33</v>
      </c>
      <c r="C30" s="114"/>
      <c r="D30" s="102"/>
      <c r="E30" s="103"/>
      <c r="F30" s="23"/>
      <c r="G30" s="1"/>
      <c r="H30" s="2"/>
      <c r="I30" s="91"/>
      <c r="J30" s="92"/>
      <c r="K30" s="2"/>
    </row>
    <row r="31" spans="2:11" x14ac:dyDescent="0.25">
      <c r="B31" s="91" t="s">
        <v>34</v>
      </c>
      <c r="C31" s="92"/>
      <c r="D31" s="102">
        <v>1</v>
      </c>
      <c r="E31" s="103"/>
      <c r="F31" s="23"/>
      <c r="G31" s="1"/>
      <c r="H31" s="2"/>
      <c r="I31" s="91"/>
      <c r="J31" s="92"/>
      <c r="K31" s="2"/>
    </row>
    <row r="32" spans="2:11" x14ac:dyDescent="0.25">
      <c r="B32" s="8" t="s">
        <v>35</v>
      </c>
      <c r="C32" s="9"/>
      <c r="D32" s="102"/>
      <c r="E32" s="103"/>
      <c r="F32" s="23"/>
      <c r="G32" s="1"/>
      <c r="H32" s="2"/>
      <c r="I32" s="91"/>
      <c r="J32" s="92"/>
      <c r="K32" s="2"/>
    </row>
    <row r="33" spans="2:23" x14ac:dyDescent="0.25">
      <c r="B33" s="8" t="s">
        <v>36</v>
      </c>
      <c r="C33" s="9"/>
      <c r="D33" s="102"/>
      <c r="E33" s="103"/>
      <c r="F33" s="23"/>
      <c r="G33" s="1"/>
      <c r="H33" s="2"/>
      <c r="I33" s="91"/>
      <c r="J33" s="92"/>
      <c r="K33" s="2"/>
    </row>
    <row r="34" spans="2:23" x14ac:dyDescent="0.25">
      <c r="B34" s="8" t="s">
        <v>37</v>
      </c>
      <c r="C34" s="9"/>
      <c r="D34" s="102"/>
      <c r="E34" s="103"/>
      <c r="F34" s="23"/>
      <c r="G34" s="1"/>
      <c r="H34" s="2"/>
      <c r="I34" s="91"/>
      <c r="J34" s="92"/>
      <c r="K34" s="2"/>
    </row>
    <row r="35" spans="2:23" x14ac:dyDescent="0.25">
      <c r="B35" s="8" t="s">
        <v>38</v>
      </c>
      <c r="C35" s="9"/>
      <c r="D35" s="102"/>
      <c r="E35" s="103"/>
      <c r="F35" s="23"/>
      <c r="G35" s="1"/>
      <c r="H35" s="2"/>
      <c r="I35" s="91"/>
      <c r="J35" s="92"/>
      <c r="K35" s="2"/>
    </row>
    <row r="36" spans="2:23" x14ac:dyDescent="0.25">
      <c r="B36" s="8" t="s">
        <v>39</v>
      </c>
      <c r="C36" s="9"/>
      <c r="D36" s="102"/>
      <c r="E36" s="103"/>
      <c r="F36" s="23"/>
      <c r="G36" s="1"/>
      <c r="H36" s="2"/>
      <c r="I36" s="91"/>
      <c r="J36" s="92"/>
      <c r="K36" s="2"/>
    </row>
    <row r="37" spans="2:23" x14ac:dyDescent="0.25">
      <c r="B37" s="8" t="s">
        <v>40</v>
      </c>
      <c r="C37" s="9"/>
      <c r="D37" s="102"/>
      <c r="E37" s="103"/>
      <c r="F37" s="23"/>
      <c r="G37" s="1"/>
      <c r="H37" s="2"/>
      <c r="I37" s="91"/>
      <c r="J37" s="92"/>
      <c r="K37" s="2"/>
    </row>
    <row r="38" spans="2:23" x14ac:dyDescent="0.25">
      <c r="B38" s="8" t="s">
        <v>41</v>
      </c>
      <c r="C38" s="9"/>
      <c r="D38" s="102"/>
      <c r="E38" s="103"/>
      <c r="F38" s="23"/>
      <c r="G38" s="1"/>
      <c r="H38" s="2"/>
      <c r="I38" s="91"/>
      <c r="J38" s="92"/>
      <c r="K38" s="2"/>
    </row>
    <row r="39" spans="2:23" x14ac:dyDescent="0.25">
      <c r="B39" s="8" t="s">
        <v>42</v>
      </c>
      <c r="C39" s="9"/>
      <c r="D39" s="102"/>
      <c r="E39" s="103"/>
      <c r="F39" s="24"/>
      <c r="G39" s="1"/>
      <c r="H39" s="2"/>
      <c r="I39" s="91"/>
      <c r="J39" s="92"/>
      <c r="K39" s="2"/>
    </row>
    <row r="40" spans="2:23" x14ac:dyDescent="0.25">
      <c r="B40" s="8" t="s">
        <v>43</v>
      </c>
      <c r="C40" s="9"/>
      <c r="D40" s="102"/>
      <c r="E40" s="103"/>
      <c r="F40" s="23"/>
      <c r="G40" s="1"/>
      <c r="H40" s="2"/>
      <c r="I40" s="91"/>
      <c r="J40" s="92"/>
      <c r="K40" s="2"/>
    </row>
    <row r="41" spans="2:23" x14ac:dyDescent="0.25">
      <c r="B41" s="8" t="s">
        <v>44</v>
      </c>
      <c r="C41" s="9"/>
      <c r="D41" s="102"/>
      <c r="E41" s="103"/>
      <c r="F41" s="23"/>
      <c r="G41" s="1"/>
      <c r="H41" s="2"/>
      <c r="I41" s="91"/>
      <c r="J41" s="92"/>
      <c r="K41" s="2"/>
    </row>
    <row r="42" spans="2:23" x14ac:dyDescent="0.25">
      <c r="B42" s="8" t="s">
        <v>45</v>
      </c>
      <c r="C42" s="9"/>
      <c r="D42" s="102"/>
      <c r="E42" s="103"/>
      <c r="F42" s="23"/>
      <c r="G42" s="1"/>
      <c r="H42" s="2"/>
      <c r="I42" s="91"/>
      <c r="J42" s="92"/>
      <c r="K42" s="2"/>
    </row>
    <row r="43" spans="2:23" x14ac:dyDescent="0.25">
      <c r="B43" s="91" t="s">
        <v>49</v>
      </c>
      <c r="C43" s="92"/>
      <c r="D43" s="102"/>
      <c r="E43" s="103"/>
      <c r="F43" s="23"/>
      <c r="G43" s="1"/>
      <c r="H43" s="2"/>
      <c r="I43" s="91"/>
      <c r="J43" s="92"/>
      <c r="K43" s="2"/>
    </row>
    <row r="44" spans="2:23" x14ac:dyDescent="0.25">
      <c r="B44" s="115"/>
      <c r="C44" s="116"/>
      <c r="D44" s="102"/>
      <c r="E44" s="103"/>
      <c r="F44" s="23"/>
      <c r="G44" s="1"/>
      <c r="H44" s="2"/>
      <c r="I44" s="91"/>
      <c r="J44" s="92"/>
      <c r="K44" s="25"/>
    </row>
    <row r="45" spans="2:23" ht="13.8" thickBot="1" x14ac:dyDescent="0.3">
      <c r="B45" s="104" t="s">
        <v>17</v>
      </c>
      <c r="C45" s="105"/>
      <c r="D45" s="104">
        <f>+SUM(D30:E44)</f>
        <v>1</v>
      </c>
      <c r="E45" s="105"/>
      <c r="F45" s="26"/>
      <c r="G45" s="27"/>
      <c r="H45" s="3"/>
      <c r="I45" s="104" t="s">
        <v>17</v>
      </c>
      <c r="J45" s="105"/>
      <c r="K45" s="42">
        <f>SUM(K17:K44)</f>
        <v>3</v>
      </c>
    </row>
    <row r="46" spans="2:23" ht="9.9" customHeight="1" x14ac:dyDescent="0.25">
      <c r="B46" s="120" t="s">
        <v>27</v>
      </c>
      <c r="C46" s="121"/>
      <c r="D46" s="121"/>
      <c r="E46" s="121"/>
      <c r="F46" s="121"/>
      <c r="G46" s="121"/>
      <c r="H46" s="121"/>
      <c r="I46" s="121"/>
      <c r="J46" s="121"/>
      <c r="K46" s="122"/>
    </row>
    <row r="47" spans="2:23" ht="9.9" customHeight="1" x14ac:dyDescent="0.25">
      <c r="B47" s="123"/>
      <c r="C47" s="124"/>
      <c r="D47" s="124"/>
      <c r="E47" s="124"/>
      <c r="F47" s="124"/>
      <c r="G47" s="124"/>
      <c r="H47" s="124"/>
      <c r="I47" s="124"/>
      <c r="J47" s="124"/>
      <c r="K47" s="125"/>
    </row>
    <row r="48" spans="2:23" s="49" customFormat="1" ht="27.75" customHeight="1" x14ac:dyDescent="0.25">
      <c r="B48" s="48" t="s">
        <v>52</v>
      </c>
      <c r="C48" s="126" t="s">
        <v>53</v>
      </c>
      <c r="D48" s="127"/>
      <c r="E48" s="127"/>
      <c r="F48" s="127"/>
      <c r="G48" s="127"/>
      <c r="H48" s="127"/>
      <c r="I48" s="128"/>
      <c r="J48" s="48" t="s">
        <v>54</v>
      </c>
      <c r="K48" s="48" t="s">
        <v>55</v>
      </c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spans="2:23" s="50" customFormat="1" ht="15" customHeight="1" x14ac:dyDescent="0.25">
      <c r="B49" s="53"/>
      <c r="C49" s="129"/>
      <c r="D49" s="130"/>
      <c r="E49" s="130"/>
      <c r="F49" s="130"/>
      <c r="G49" s="130"/>
      <c r="H49" s="130"/>
      <c r="I49" s="131"/>
      <c r="J49" s="51"/>
      <c r="K49" s="52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spans="2:23" s="50" customFormat="1" ht="15" customHeight="1" x14ac:dyDescent="0.25">
      <c r="B50" s="54"/>
      <c r="C50" s="117"/>
      <c r="D50" s="118"/>
      <c r="E50" s="118"/>
      <c r="F50" s="118"/>
      <c r="G50" s="118"/>
      <c r="H50" s="118"/>
      <c r="I50" s="119"/>
      <c r="J50" s="55"/>
      <c r="K50" s="56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  <row r="51" spans="2:23" s="50" customFormat="1" ht="15" customHeight="1" x14ac:dyDescent="0.25">
      <c r="B51" s="54"/>
      <c r="C51" s="117"/>
      <c r="D51" s="118"/>
      <c r="E51" s="118"/>
      <c r="F51" s="118"/>
      <c r="G51" s="118"/>
      <c r="H51" s="118"/>
      <c r="I51" s="119"/>
      <c r="J51" s="55"/>
      <c r="K51" s="56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</row>
    <row r="52" spans="2:23" s="50" customFormat="1" ht="15" customHeight="1" x14ac:dyDescent="0.25">
      <c r="B52" s="54"/>
      <c r="C52" s="117"/>
      <c r="D52" s="118"/>
      <c r="E52" s="118"/>
      <c r="F52" s="118"/>
      <c r="G52" s="118"/>
      <c r="H52" s="118"/>
      <c r="I52" s="119"/>
      <c r="J52" s="55"/>
      <c r="K52" s="56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</row>
    <row r="53" spans="2:23" s="50" customFormat="1" ht="15" customHeight="1" x14ac:dyDescent="0.25">
      <c r="B53" s="54"/>
      <c r="C53" s="117"/>
      <c r="D53" s="118"/>
      <c r="E53" s="118"/>
      <c r="F53" s="118"/>
      <c r="G53" s="118"/>
      <c r="H53" s="118"/>
      <c r="I53" s="119"/>
      <c r="J53" s="55"/>
      <c r="K53" s="56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</row>
    <row r="54" spans="2:23" s="50" customFormat="1" ht="15" customHeight="1" x14ac:dyDescent="0.25">
      <c r="B54" s="54"/>
      <c r="C54" s="117"/>
      <c r="D54" s="118"/>
      <c r="E54" s="118"/>
      <c r="F54" s="118"/>
      <c r="G54" s="118"/>
      <c r="H54" s="118"/>
      <c r="I54" s="119"/>
      <c r="J54" s="55"/>
      <c r="K54" s="56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</row>
    <row r="55" spans="2:23" s="50" customFormat="1" ht="15" customHeight="1" x14ac:dyDescent="0.25">
      <c r="B55" s="54"/>
      <c r="C55" s="117"/>
      <c r="D55" s="118"/>
      <c r="E55" s="118"/>
      <c r="F55" s="118"/>
      <c r="G55" s="118"/>
      <c r="H55" s="118"/>
      <c r="I55" s="119"/>
      <c r="J55" s="55"/>
      <c r="K55" s="56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</row>
    <row r="56" spans="2:23" s="50" customFormat="1" ht="15" customHeight="1" x14ac:dyDescent="0.25">
      <c r="B56" s="54"/>
      <c r="C56" s="117"/>
      <c r="D56" s="118"/>
      <c r="E56" s="118"/>
      <c r="F56" s="118"/>
      <c r="G56" s="118"/>
      <c r="H56" s="118"/>
      <c r="I56" s="119"/>
      <c r="J56" s="55"/>
      <c r="K56" s="56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</row>
    <row r="57" spans="2:23" s="50" customFormat="1" ht="15" customHeight="1" x14ac:dyDescent="0.25">
      <c r="B57" s="54"/>
      <c r="C57" s="117"/>
      <c r="D57" s="118"/>
      <c r="E57" s="118"/>
      <c r="F57" s="118"/>
      <c r="G57" s="118"/>
      <c r="H57" s="118"/>
      <c r="I57" s="119"/>
      <c r="J57" s="55"/>
      <c r="K57" s="56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spans="2:23" s="50" customFormat="1" ht="15" customHeight="1" x14ac:dyDescent="0.25">
      <c r="B58" s="54"/>
      <c r="C58" s="117"/>
      <c r="D58" s="118"/>
      <c r="E58" s="118"/>
      <c r="F58" s="118"/>
      <c r="G58" s="118"/>
      <c r="H58" s="118"/>
      <c r="I58" s="119"/>
      <c r="J58" s="55"/>
      <c r="K58" s="56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2:23" s="50" customFormat="1" ht="15" customHeight="1" x14ac:dyDescent="0.25">
      <c r="B59" s="54"/>
      <c r="C59" s="117"/>
      <c r="D59" s="118"/>
      <c r="E59" s="118"/>
      <c r="F59" s="118"/>
      <c r="G59" s="118"/>
      <c r="H59" s="118"/>
      <c r="I59" s="119"/>
      <c r="J59" s="55"/>
      <c r="K59" s="56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</row>
    <row r="60" spans="2:23" ht="15" customHeight="1" x14ac:dyDescent="0.25">
      <c r="B60" s="149" t="s">
        <v>2</v>
      </c>
      <c r="C60" s="150"/>
      <c r="D60" s="150"/>
      <c r="E60" s="150"/>
      <c r="F60" s="150"/>
      <c r="G60" s="149" t="s">
        <v>0</v>
      </c>
      <c r="H60" s="150"/>
      <c r="I60" s="150"/>
      <c r="J60" s="151"/>
      <c r="K60" s="47" t="s">
        <v>5</v>
      </c>
    </row>
    <row r="61" spans="2:23" x14ac:dyDescent="0.25">
      <c r="B61" s="132"/>
      <c r="C61" s="133"/>
      <c r="D61" s="133"/>
      <c r="E61" s="133"/>
      <c r="F61" s="133"/>
      <c r="G61" s="136"/>
      <c r="H61" s="137"/>
      <c r="I61" s="137"/>
      <c r="J61" s="138"/>
      <c r="K61" s="12"/>
    </row>
    <row r="62" spans="2:23" x14ac:dyDescent="0.25">
      <c r="B62" s="134"/>
      <c r="C62" s="135"/>
      <c r="D62" s="135"/>
      <c r="E62" s="135"/>
      <c r="F62" s="135"/>
      <c r="G62" s="139"/>
      <c r="H62" s="140"/>
      <c r="I62" s="140"/>
      <c r="J62" s="141"/>
      <c r="K62" s="142" t="s">
        <v>25</v>
      </c>
    </row>
    <row r="63" spans="2:23" x14ac:dyDescent="0.25">
      <c r="B63" s="134"/>
      <c r="C63" s="135"/>
      <c r="D63" s="135"/>
      <c r="E63" s="135"/>
      <c r="F63" s="135"/>
      <c r="G63" s="139"/>
      <c r="H63" s="140"/>
      <c r="I63" s="140"/>
      <c r="J63" s="141"/>
      <c r="K63" s="142"/>
    </row>
    <row r="64" spans="2:23" x14ac:dyDescent="0.25">
      <c r="B64" s="134"/>
      <c r="C64" s="135"/>
      <c r="D64" s="135"/>
      <c r="E64" s="135"/>
      <c r="F64" s="135"/>
      <c r="G64" s="139"/>
      <c r="H64" s="140"/>
      <c r="I64" s="140"/>
      <c r="J64" s="141"/>
      <c r="K64" s="143"/>
    </row>
    <row r="65" spans="2:11" x14ac:dyDescent="0.25">
      <c r="B65" s="134"/>
      <c r="C65" s="135"/>
      <c r="D65" s="135"/>
      <c r="E65" s="135"/>
      <c r="F65" s="135"/>
      <c r="G65" s="139"/>
      <c r="H65" s="140"/>
      <c r="I65" s="140"/>
      <c r="J65" s="141"/>
      <c r="K65" s="39" t="s">
        <v>6</v>
      </c>
    </row>
    <row r="66" spans="2:11" x14ac:dyDescent="0.25">
      <c r="B66" s="134"/>
      <c r="C66" s="135"/>
      <c r="D66" s="135"/>
      <c r="E66" s="135"/>
      <c r="F66" s="135"/>
      <c r="G66" s="139"/>
      <c r="H66" s="140"/>
      <c r="I66" s="140"/>
      <c r="J66" s="141"/>
      <c r="K66" s="144" t="s">
        <v>26</v>
      </c>
    </row>
    <row r="67" spans="2:11" ht="19.5" customHeight="1" x14ac:dyDescent="0.25">
      <c r="B67" s="134"/>
      <c r="C67" s="135"/>
      <c r="D67" s="135"/>
      <c r="E67" s="135"/>
      <c r="F67" s="135"/>
      <c r="G67" s="139"/>
      <c r="H67" s="140"/>
      <c r="I67" s="140"/>
      <c r="J67" s="141"/>
      <c r="K67" s="142"/>
    </row>
    <row r="68" spans="2:11" x14ac:dyDescent="0.25">
      <c r="B68" s="134"/>
      <c r="C68" s="135"/>
      <c r="D68" s="135"/>
      <c r="E68" s="135"/>
      <c r="F68" s="135"/>
      <c r="G68" s="139"/>
      <c r="H68" s="140"/>
      <c r="I68" s="140"/>
      <c r="J68" s="141"/>
      <c r="K68" s="142"/>
    </row>
    <row r="69" spans="2:11" ht="13.8" thickBot="1" x14ac:dyDescent="0.3">
      <c r="B69" s="146">
        <f>+K14</f>
        <v>46137</v>
      </c>
      <c r="C69" s="147"/>
      <c r="D69" s="147"/>
      <c r="E69" s="147"/>
      <c r="F69" s="147"/>
      <c r="G69" s="146">
        <f>B69</f>
        <v>46137</v>
      </c>
      <c r="H69" s="147"/>
      <c r="I69" s="147"/>
      <c r="J69" s="148"/>
      <c r="K69" s="145"/>
    </row>
    <row r="70" spans="2:11" ht="15" customHeight="1" x14ac:dyDescent="0.25">
      <c r="B70" s="28"/>
      <c r="C70" s="29"/>
      <c r="D70" s="29"/>
      <c r="E70" s="29"/>
      <c r="F70" s="29"/>
      <c r="G70" s="29"/>
      <c r="H70" s="29"/>
      <c r="I70" s="29"/>
      <c r="J70" s="29"/>
      <c r="K70" s="29"/>
    </row>
    <row r="71" spans="2:11" x14ac:dyDescent="0.25">
      <c r="B71" s="30"/>
    </row>
  </sheetData>
  <mergeCells count="110">
    <mergeCell ref="B61:F68"/>
    <mergeCell ref="G61:J68"/>
    <mergeCell ref="K62:K64"/>
    <mergeCell ref="K66:K69"/>
    <mergeCell ref="B69:F69"/>
    <mergeCell ref="G69:J69"/>
    <mergeCell ref="C56:I56"/>
    <mergeCell ref="C57:I57"/>
    <mergeCell ref="C58:I58"/>
    <mergeCell ref="C59:I59"/>
    <mergeCell ref="B60:F60"/>
    <mergeCell ref="G60:J60"/>
    <mergeCell ref="C50:I50"/>
    <mergeCell ref="C51:I51"/>
    <mergeCell ref="C52:I52"/>
    <mergeCell ref="C53:I53"/>
    <mergeCell ref="C54:I54"/>
    <mergeCell ref="C55:I55"/>
    <mergeCell ref="B45:C45"/>
    <mergeCell ref="D45:E45"/>
    <mergeCell ref="I45:J45"/>
    <mergeCell ref="B46:K47"/>
    <mergeCell ref="C48:I48"/>
    <mergeCell ref="C49:I49"/>
    <mergeCell ref="B43:C43"/>
    <mergeCell ref="D43:E43"/>
    <mergeCell ref="I43:J43"/>
    <mergeCell ref="B44:C44"/>
    <mergeCell ref="D44:E44"/>
    <mergeCell ref="I44:J44"/>
    <mergeCell ref="D40:E40"/>
    <mergeCell ref="I40:J40"/>
    <mergeCell ref="D41:E41"/>
    <mergeCell ref="I41:J41"/>
    <mergeCell ref="D42:E42"/>
    <mergeCell ref="I42:J42"/>
    <mergeCell ref="D37:E37"/>
    <mergeCell ref="I37:J37"/>
    <mergeCell ref="D38:E38"/>
    <mergeCell ref="I38:J38"/>
    <mergeCell ref="D39:E39"/>
    <mergeCell ref="I39:J39"/>
    <mergeCell ref="D34:E34"/>
    <mergeCell ref="I34:J34"/>
    <mergeCell ref="D35:E35"/>
    <mergeCell ref="I35:J35"/>
    <mergeCell ref="D36:E36"/>
    <mergeCell ref="I36:J36"/>
    <mergeCell ref="B31:C31"/>
    <mergeCell ref="D31:E31"/>
    <mergeCell ref="I31:J31"/>
    <mergeCell ref="D32:E32"/>
    <mergeCell ref="I32:J32"/>
    <mergeCell ref="D33:E33"/>
    <mergeCell ref="I33:J33"/>
    <mergeCell ref="B28:C29"/>
    <mergeCell ref="D28:E29"/>
    <mergeCell ref="I28:J28"/>
    <mergeCell ref="I29:J29"/>
    <mergeCell ref="B30:C30"/>
    <mergeCell ref="D30:E30"/>
    <mergeCell ref="I30:J30"/>
    <mergeCell ref="B26:C26"/>
    <mergeCell ref="D26:E26"/>
    <mergeCell ref="I26:J26"/>
    <mergeCell ref="B27:C27"/>
    <mergeCell ref="D27:E27"/>
    <mergeCell ref="I27:J27"/>
    <mergeCell ref="B24:C24"/>
    <mergeCell ref="D24:E24"/>
    <mergeCell ref="I24:J24"/>
    <mergeCell ref="B25:C25"/>
    <mergeCell ref="D25:E25"/>
    <mergeCell ref="I25:J25"/>
    <mergeCell ref="B22:C22"/>
    <mergeCell ref="D22:E22"/>
    <mergeCell ref="I22:J22"/>
    <mergeCell ref="B23:C23"/>
    <mergeCell ref="D23:E23"/>
    <mergeCell ref="I23:J23"/>
    <mergeCell ref="B20:C20"/>
    <mergeCell ref="D20:E20"/>
    <mergeCell ref="I20:J20"/>
    <mergeCell ref="B21:C21"/>
    <mergeCell ref="D21:E21"/>
    <mergeCell ref="I21:J21"/>
    <mergeCell ref="B18:C18"/>
    <mergeCell ref="D18:E18"/>
    <mergeCell ref="I18:J18"/>
    <mergeCell ref="B19:C19"/>
    <mergeCell ref="D19:E19"/>
    <mergeCell ref="I19:J19"/>
    <mergeCell ref="B16:C16"/>
    <mergeCell ref="D16:E16"/>
    <mergeCell ref="I16:J16"/>
    <mergeCell ref="B17:C17"/>
    <mergeCell ref="D17:E17"/>
    <mergeCell ref="I17:J17"/>
    <mergeCell ref="B11:B12"/>
    <mergeCell ref="C11:K12"/>
    <mergeCell ref="C13:H13"/>
    <mergeCell ref="I13:K13"/>
    <mergeCell ref="B14:B15"/>
    <mergeCell ref="H14:I14"/>
    <mergeCell ref="B2:E2"/>
    <mergeCell ref="J4:K5"/>
    <mergeCell ref="B5:F5"/>
    <mergeCell ref="B6:E6"/>
    <mergeCell ref="B8:K8"/>
    <mergeCell ref="B9:K9"/>
  </mergeCells>
  <printOptions horizontalCentered="1" verticalCentered="1"/>
  <pageMargins left="0" right="0" top="0" bottom="0.39370078740157483" header="0.27559055118110237" footer="0.31496062992125984"/>
  <pageSetup paperSize="9" scale="80" fitToHeight="0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DD.MM.YYYY</vt:lpstr>
      <vt:lpstr>DD.MM.YYYY!Yazdırma_Alanı</vt:lpstr>
    </vt:vector>
  </TitlesOfParts>
  <Company>Yüksel Proje MEB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Bülent TİRYAKİ</dc:creator>
  <cp:lastModifiedBy>Enes</cp:lastModifiedBy>
  <cp:lastPrinted>2026-04-27T08:25:08Z</cp:lastPrinted>
  <dcterms:created xsi:type="dcterms:W3CDTF">1998-07-08T11:59:07Z</dcterms:created>
  <dcterms:modified xsi:type="dcterms:W3CDTF">2026-05-24T07:48:36Z</dcterms:modified>
</cp:coreProperties>
</file>